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 2026 Dashboard" sheetId="1" state="visible" r:id="rId3"/>
    <sheet name="Cha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<sst xmlns="http://schemas.openxmlformats.org/spreadsheetml/2006/main" count="37" uniqueCount="37">
  <si>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QUARTERLY PERFORMANCE REVIEW - Q1 2026</t>
  </si>
  <si>
    <t xml:space="preserve">Sales Team Performance: January - March 2026</t>
  </si>
  <si>
    <t xml:space="preserve">Key Performance Indicators Summary</t>
  </si>
  <si>
    <t xml:space="preserve">Employee Name</t>
  </si>
  <si>
    <t xml:space="preserve">Total Sales ($)</t>
  </si>
  <si>
    <t xml:space="preserve">Sales Closed</t>
  </si>
  <si>
    <t xml:space="preserve">Avg Sale Value</t>
  </si>
  <si>
    <t xml:space="preserve">Sales Cycle (Days)</t>
  </si>
  <si>
    <t xml:space="preserve">Cycle Reduction vs Q4</t>
  </si>
  <si>
    <t xml:space="preserve">Ins. Payment Time (Days)</t>
  </si>
  <si>
    <t xml:space="preserve">Payment Time Reduction</t>
  </si>
  <si>
    <t xml:space="preserve">Overall Rating</t>
  </si>
  <si>
    <t xml:space="preserve">Sarah Johnson</t>
  </si>
  <si>
    <t xml:space="preserve">Michael Chen</t>
  </si>
  <si>
    <t xml:space="preserve">Emily Rodriguez</t>
  </si>
  <si>
    <t xml:space="preserve">David Thompson</t>
  </si>
  <si>
    <t xml:space="preserve">Jessica Williams</t>
  </si>
  <si>
    <t xml:space="preserve">Robert Martinez</t>
  </si>
  <si>
    <t xml:space="preserve">Amanda Davis</t>
  </si>
  <si>
    <t xml:space="preserve">Christopher Lee</t>
  </si>
  <si>
    <t xml:space="preserve">TEAM TOTALS / AVERAGES</t>
  </si>
  <si>
    <t xml:space="preserve">Team Performance Metrics</t>
  </si>
  <si>
    <t xml:space="preserve">Process Improvements</t>
  </si>
  <si>
    <t xml:space="preserve">Excellent Performers:</t>
  </si>
  <si>
    <t xml:space="preserve">Avg Sales Cycle Improvement:</t>
  </si>
  <si>
    <t xml:space="preserve">Good Performers:</t>
  </si>
  <si>
    <t xml:space="preserve">Avg Payment Time Improvement:</t>
  </si>
  <si>
    <t xml:space="preserve">Needs Improvement:</t>
  </si>
  <si>
    <t xml:space="preserve">Total Revenue Generated:</t>
  </si>
  <si>
    <t xml:space="preserve">Performance Review Notes:</t>
  </si>
  <si>
    <t xml:space="preserve">• Excellent: Both sales cycle AND payment time reduced by &gt;5 days vs Q4 2025</t>
  </si>
  <si>
    <t xml:space="preserve">• Good: Both metrics showing positive improvement (&gt;0 days reduction)</t>
  </si>
  <si>
    <t xml:space="preserve">• Needs Improvement: Either metric worsened by &gt;3 days vs Q4 2025</t>
  </si>
  <si>
    <t xml:space="preserve">• Satisfactory: All other performance levels</t>
  </si>
  <si>
    <t xml:space="preserve">Sales Cycle: Time from initial contact to closed sale</t>
  </si>
  <si>
    <t xml:space="preserve">Insurance Payment Time: Days from claim submission to payment received</t>
  </si>
  <si>
    <t xml:space="preserve">Visual Performance Analysis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</si>
</sst>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0&quot; days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539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color rgb="FFFF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03366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B53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Total Sales by Employee - Q1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'Q1 2026 Dashboard'!B6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2026 Dashboard'!$A$7:$A$14</c:f>
              <c:strCache>
                <c:ptCount val="8"/>
                <c:pt idx="0">
                  <c:v>Sarah Johnson</c:v>
                </c:pt>
                <c:pt idx="1">
                  <c:v>Michael Chen</c:v>
                </c:pt>
                <c:pt idx="2">
                  <c:v>Emily Rodriguez</c:v>
                </c:pt>
                <c:pt idx="3">
                  <c:v>David Thompson</c:v>
                </c:pt>
                <c:pt idx="4">
                  <c:v>Jessica Williams</c:v>
                </c:pt>
                <c:pt idx="5">
                  <c:v>Robert Martinez</c:v>
                </c:pt>
                <c:pt idx="6">
                  <c:v>Amanda Davis</c:v>
                </c:pt>
                <c:pt idx="7">
                  <c:v>Christopher Lee</c:v>
                </c:pt>
              </c:strCache>
            </c:strRef>
          </c:cat>
          <c:val>
            <c:numRef>
              <c:f>'Q1 2026 Dashboard'!$B$7:$B$14</c:f>
              <c:numCache>
                <c:formatCode>\$#,##0</c:formatCode>
                <c:ptCount val="8"/>
                <c:pt idx="0">
                  <c:v>247621</c:v>
                </c:pt>
                <c:pt idx="1">
                  <c:v>116579</c:v>
                </c:pt>
                <c:pt idx="2">
                  <c:v>190604</c:v>
                </c:pt>
                <c:pt idx="3">
                  <c:v>212475</c:v>
                </c:pt>
                <c:pt idx="4">
                  <c:v>222853</c:v>
                </c:pt>
                <c:pt idx="5">
                  <c:v>81703</c:v>
                </c:pt>
                <c:pt idx="6">
                  <c:v>136443</c:v>
                </c:pt>
                <c:pt idx="7">
                  <c:v>174104</c:v>
                </c:pt>
              </c:numCache>
            </c:numRef>
          </c:val>
        </c:ser>
        <c:gapWidth val="150"/>
        <c:overlap val="0"/>
        <c:axId val="3614607"/>
        <c:axId val="37870188"/>
      </c:barChart>
      <c:catAx>
        <c:axId val="3614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70188"/>
        <c:crosses val="autoZero"/>
        <c:auto val="1"/>
        <c:lblAlgn val="ctr"/>
        <c:lblOffset val="100"/>
        <c:noMultiLvlLbl val="0"/>
      </c:catAx>
      <c:valAx>
        <c:axId val="37870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146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Sales Cycle Reduction (Days) - Q1 vs Q4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'Q1 2026 Dashboard'!F6</c:f>
              <c:strCache>
                <c:ptCount val="1"/>
                <c:pt idx="0">
                  <c:v>Cycle Reduction vs Q4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2026 Dashboard'!$A$7:$A$14</c:f>
              <c:strCache>
                <c:ptCount val="8"/>
                <c:pt idx="0">
                  <c:v>Sarah Johnson</c:v>
                </c:pt>
                <c:pt idx="1">
                  <c:v>Michael Chen</c:v>
                </c:pt>
                <c:pt idx="2">
                  <c:v>Emily Rodriguez</c:v>
                </c:pt>
                <c:pt idx="3">
                  <c:v>David Thompson</c:v>
                </c:pt>
                <c:pt idx="4">
                  <c:v>Jessica Williams</c:v>
                </c:pt>
                <c:pt idx="5">
                  <c:v>Robert Martinez</c:v>
                </c:pt>
                <c:pt idx="6">
                  <c:v>Amanda Davis</c:v>
                </c:pt>
                <c:pt idx="7">
                  <c:v>Christopher Lee</c:v>
                </c:pt>
              </c:strCache>
            </c:strRef>
          </c:cat>
          <c:val>
            <c:numRef>
              <c:f>'Q1 2026 Dashboard'!$F$7:$F$14</c:f>
              <c:numCache>
                <c:formatCode>General</c:formatCode>
                <c:ptCount val="8"/>
                <c:pt idx="0">
                  <c:v>3</c:v>
                </c:pt>
                <c:pt idx="1">
                  <c:v>12</c:v>
                </c:pt>
                <c:pt idx="2">
                  <c:v>-3</c:v>
                </c:pt>
                <c:pt idx="3">
                  <c:v>12</c:v>
                </c:pt>
                <c:pt idx="4">
                  <c:v>9</c:v>
                </c:pt>
                <c:pt idx="5">
                  <c:v>5</c:v>
                </c:pt>
                <c:pt idx="6">
                  <c:v>-3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23672227"/>
        <c:axId val="38955369"/>
      </c:barChart>
      <c:catAx>
        <c:axId val="23672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955369"/>
        <c:crosses val="autoZero"/>
        <c:auto val="1"/>
        <c:lblAlgn val="ctr"/>
        <c:lblOffset val="100"/>
        <c:noMultiLvlLbl val="0"/>
      </c:catAx>
      <c:valAx>
        <c:axId val="38955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Days Reduced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6722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Insurance Payment Time Reduction (Days) - Q1 vs Q4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'Q1 2026 Dashboard'!H6</c:f>
              <c:strCache>
                <c:ptCount val="1"/>
                <c:pt idx="0">
                  <c:v>Payment Time Reduction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2026 Dashboard'!$A$7:$A$14</c:f>
              <c:strCache>
                <c:ptCount val="8"/>
                <c:pt idx="0">
                  <c:v>Sarah Johnson</c:v>
                </c:pt>
                <c:pt idx="1">
                  <c:v>Michael Chen</c:v>
                </c:pt>
                <c:pt idx="2">
                  <c:v>Emily Rodriguez</c:v>
                </c:pt>
                <c:pt idx="3">
                  <c:v>David Thompson</c:v>
                </c:pt>
                <c:pt idx="4">
                  <c:v>Jessica Williams</c:v>
                </c:pt>
                <c:pt idx="5">
                  <c:v>Robert Martinez</c:v>
                </c:pt>
                <c:pt idx="6">
                  <c:v>Amanda Davis</c:v>
                </c:pt>
                <c:pt idx="7">
                  <c:v>Christopher Lee</c:v>
                </c:pt>
              </c:strCache>
            </c:strRef>
          </c:cat>
          <c:val>
            <c:numRef>
              <c:f>'Q1 2026 Dashboard'!$H$7:$H$14</c:f>
              <c:numCache>
                <c:formatCode>General</c:formatCode>
                <c:ptCount val="8"/>
                <c:pt idx="0">
                  <c:v>4</c:v>
                </c:pt>
                <c:pt idx="1">
                  <c:v>15</c:v>
                </c:pt>
                <c:pt idx="2">
                  <c:v>4</c:v>
                </c:pt>
                <c:pt idx="3">
                  <c:v>17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11</c:v>
                </c:pt>
              </c:numCache>
            </c:numRef>
          </c:val>
        </c:ser>
        <c:gapWidth val="150"/>
        <c:overlap val="0"/>
        <c:axId val="10971372"/>
        <c:axId val="92806553"/>
      </c:barChart>
      <c:catAx>
        <c:axId val="10971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806553"/>
        <c:crosses val="autoZero"/>
        <c:auto val="1"/>
        <c:lblAlgn val="ctr"/>
        <c:lblOffset val="100"/>
        <c:noMultiLvlLbl val="0"/>
      </c:catAx>
      <c:valAx>
        <c:axId val="92806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Days Reduced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9713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11</xdr:col>
      <xdr:colOff>473040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11</xdr:col>
      <xdr:colOff>473040</xdr:colOff>
      <xdr:row>40</xdr:row>
      <xdr:rowOff>140760</xdr:rowOff>
    </xdr:to>
    <xdr:graphicFrame>
      <xdr:nvGraphicFramePr>
        <xdr:cNvPr id="1" name="Chart 2"/>
        <xdr:cNvGraphicFramePr/>
      </xdr:nvGraphicFramePr>
      <xdr:xfrm>
        <a:off x="0" y="4191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160560</xdr:rowOff>
    </xdr:from>
    <xdr:to>
      <xdr:col>11</xdr:col>
      <xdr:colOff>473040</xdr:colOff>
      <xdr:row>60</xdr:row>
      <xdr:rowOff>140760</xdr:rowOff>
    </xdr:to>
    <xdr:graphicFrame>
      <xdr:nvGraphicFramePr>
        <xdr:cNvPr id="2" name="Chart 3"/>
        <xdr:cNvGraphicFramePr/>
      </xdr:nvGraphicFramePr>
      <xdr:xfrm>
        <a:off x="0" y="8001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26.8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customFormat="false" ht="15" hidden="false" customHeight="false" outlineLevel="0" collapsed="false">
      <c r="A7" s="5" t="s">
        <v>12</v>
      </c>
      <c r="B7" s="6" t="n">
        <v>247621</v>
      </c>
      <c r="C7" s="7" t="n">
        <v>15</v>
      </c>
      <c r="D7" s="6" t="n">
        <f aca="false">B7/C7</f>
        <v>16508.0666666667</v>
      </c>
      <c r="E7" s="7" t="n">
        <v>26</v>
      </c>
      <c r="F7" s="7" t="n">
        <v>3</v>
      </c>
      <c r="G7" s="7" t="n">
        <v>45</v>
      </c>
      <c r="H7" s="7" t="n">
        <v>4</v>
      </c>
      <c r="I7" s="7" t="str">
        <f aca="false">IF(AND(F7&gt;5,H7&gt;5),"Excellent",IF(AND(F7&gt;0,H7&gt;0),"Good",IF(OR(F7&lt;-3,H7&lt;-3),"Needs Improvement","Satisfactory")))</f>
        <v>Good</v>
      </c>
    </row>
    <row r="8" customFormat="false" ht="15" hidden="false" customHeight="false" outlineLevel="0" collapsed="false">
      <c r="A8" s="5" t="s">
        <v>13</v>
      </c>
      <c r="B8" s="6" t="n">
        <v>116579</v>
      </c>
      <c r="C8" s="7" t="n">
        <v>35</v>
      </c>
      <c r="D8" s="6" t="n">
        <f aca="false">B8/C8</f>
        <v>3330.82857142857</v>
      </c>
      <c r="E8" s="7" t="n">
        <v>31</v>
      </c>
      <c r="F8" s="8" t="n">
        <v>12</v>
      </c>
      <c r="G8" s="7" t="n">
        <v>35</v>
      </c>
      <c r="H8" s="8" t="n">
        <v>15</v>
      </c>
      <c r="I8" s="7" t="str">
        <f aca="false">IF(AND(F8&gt;5,H8&gt;5),"Excellent",IF(AND(F8&gt;0,H8&gt;0),"Good",IF(OR(F8&lt;-3,H8&lt;-3),"Needs Improvement","Satisfactory")))</f>
        <v>Excellent</v>
      </c>
    </row>
    <row r="9" customFormat="false" ht="15" hidden="false" customHeight="false" outlineLevel="0" collapsed="false">
      <c r="A9" s="5" t="s">
        <v>14</v>
      </c>
      <c r="B9" s="6" t="n">
        <v>190604</v>
      </c>
      <c r="C9" s="7" t="n">
        <v>13</v>
      </c>
      <c r="D9" s="6" t="n">
        <f aca="false">B9/C9</f>
        <v>14661.8461538462</v>
      </c>
      <c r="E9" s="7" t="n">
        <v>26</v>
      </c>
      <c r="F9" s="9" t="n">
        <v>-3</v>
      </c>
      <c r="G9" s="7" t="n">
        <v>43</v>
      </c>
      <c r="H9" s="7" t="n">
        <v>4</v>
      </c>
      <c r="I9" s="7" t="str">
        <f aca="false">IF(AND(F9&gt;5,H9&gt;5),"Excellent",IF(AND(F9&gt;0,H9&gt;0),"Good",IF(OR(F9&lt;-3,H9&lt;-3),"Needs Improvement","Satisfactory")))</f>
        <v>Satisfactory</v>
      </c>
    </row>
    <row r="10" customFormat="false" ht="15" hidden="false" customHeight="false" outlineLevel="0" collapsed="false">
      <c r="A10" s="5" t="s">
        <v>15</v>
      </c>
      <c r="B10" s="6" t="n">
        <v>212475</v>
      </c>
      <c r="C10" s="7" t="n">
        <v>31</v>
      </c>
      <c r="D10" s="6" t="n">
        <f aca="false">B10/C10</f>
        <v>6854.03225806452</v>
      </c>
      <c r="E10" s="7" t="n">
        <v>26</v>
      </c>
      <c r="F10" s="8" t="n">
        <v>12</v>
      </c>
      <c r="G10" s="7" t="n">
        <v>42</v>
      </c>
      <c r="H10" s="8" t="n">
        <v>17</v>
      </c>
      <c r="I10" s="7" t="str">
        <f aca="false">IF(AND(F10&gt;5,H10&gt;5),"Excellent",IF(AND(F10&gt;0,H10&gt;0),"Good",IF(OR(F10&lt;-3,H10&lt;-3),"Needs Improvement","Satisfactory")))</f>
        <v>Excellent</v>
      </c>
    </row>
    <row r="11" customFormat="false" ht="15" hidden="false" customHeight="false" outlineLevel="0" collapsed="false">
      <c r="A11" s="5" t="s">
        <v>16</v>
      </c>
      <c r="B11" s="6" t="n">
        <v>222853</v>
      </c>
      <c r="C11" s="7" t="n">
        <v>25</v>
      </c>
      <c r="D11" s="6" t="n">
        <f aca="false">B11/C11</f>
        <v>8914.12</v>
      </c>
      <c r="E11" s="7" t="n">
        <v>39</v>
      </c>
      <c r="F11" s="8" t="n">
        <v>9</v>
      </c>
      <c r="G11" s="7" t="n">
        <v>67</v>
      </c>
      <c r="H11" s="7" t="n">
        <v>5</v>
      </c>
      <c r="I11" s="7" t="str">
        <f aca="false">IF(AND(F11&gt;5,H11&gt;5),"Excellent",IF(AND(F11&gt;0,H11&gt;0),"Good",IF(OR(F11&lt;-3,H11&lt;-3),"Needs Improvement","Satisfactory")))</f>
        <v>Good</v>
      </c>
    </row>
    <row r="12" customFormat="false" ht="15" hidden="false" customHeight="false" outlineLevel="0" collapsed="false">
      <c r="A12" s="5" t="s">
        <v>17</v>
      </c>
      <c r="B12" s="6" t="n">
        <v>81703</v>
      </c>
      <c r="C12" s="7" t="n">
        <v>17</v>
      </c>
      <c r="D12" s="6" t="n">
        <f aca="false">B12/C12</f>
        <v>4806.05882352941</v>
      </c>
      <c r="E12" s="7" t="n">
        <v>52</v>
      </c>
      <c r="F12" s="7" t="n">
        <v>5</v>
      </c>
      <c r="G12" s="7" t="n">
        <v>47</v>
      </c>
      <c r="H12" s="7" t="n">
        <v>1</v>
      </c>
      <c r="I12" s="7" t="str">
        <f aca="false">IF(AND(F12&gt;5,H12&gt;5),"Excellent",IF(AND(F12&gt;0,H12&gt;0),"Good",IF(OR(F12&lt;-3,H12&lt;-3),"Needs Improvement","Satisfactory")))</f>
        <v>Good</v>
      </c>
    </row>
    <row r="13" customFormat="false" ht="15" hidden="false" customHeight="false" outlineLevel="0" collapsed="false">
      <c r="A13" s="5" t="s">
        <v>18</v>
      </c>
      <c r="B13" s="6" t="n">
        <v>136443</v>
      </c>
      <c r="C13" s="7" t="n">
        <v>22</v>
      </c>
      <c r="D13" s="6" t="n">
        <f aca="false">B13/C13</f>
        <v>6201.95454545455</v>
      </c>
      <c r="E13" s="7" t="n">
        <v>31</v>
      </c>
      <c r="F13" s="9" t="n">
        <v>-3</v>
      </c>
      <c r="G13" s="7" t="n">
        <v>54</v>
      </c>
      <c r="H13" s="7" t="n">
        <v>0</v>
      </c>
      <c r="I13" s="7" t="str">
        <f aca="false">IF(AND(F13&gt;5,H13&gt;5),"Excellent",IF(AND(F13&gt;0,H13&gt;0),"Good",IF(OR(F13&lt;-3,H13&lt;-3),"Needs Improvement","Satisfactory")))</f>
        <v>Satisfactory</v>
      </c>
    </row>
    <row r="14" customFormat="false" ht="15" hidden="false" customHeight="false" outlineLevel="0" collapsed="false">
      <c r="A14" s="5" t="s">
        <v>19</v>
      </c>
      <c r="B14" s="6" t="n">
        <v>174104</v>
      </c>
      <c r="C14" s="7" t="n">
        <v>23</v>
      </c>
      <c r="D14" s="6" t="n">
        <f aca="false">B14/C14</f>
        <v>7569.73913043478</v>
      </c>
      <c r="E14" s="7" t="n">
        <v>63</v>
      </c>
      <c r="F14" s="7" t="n">
        <v>3</v>
      </c>
      <c r="G14" s="7" t="n">
        <v>32</v>
      </c>
      <c r="H14" s="8" t="n">
        <v>11</v>
      </c>
      <c r="I14" s="7" t="str">
        <f aca="false">IF(AND(F14&gt;5,H14&gt;5),"Excellent",IF(AND(F14&gt;0,H14&gt;0),"Good",IF(OR(F14&lt;-3,H14&lt;-3),"Needs Improvement","Satisfactory")))</f>
        <v>Good</v>
      </c>
    </row>
    <row r="15" customFormat="false" ht="15" hidden="false" customHeight="false" outlineLevel="0" collapsed="false">
      <c r="A15" s="10" t="s">
        <v>20</v>
      </c>
      <c r="B15" s="11" t="n">
        <f aca="false">SUM(B7:B14)</f>
        <v>1382382</v>
      </c>
      <c r="C15" s="10" t="n">
        <f aca="false">SUM(C7:C14)</f>
        <v>181</v>
      </c>
      <c r="D15" s="11" t="n">
        <f aca="false">B15/C15</f>
        <v>7637.46961325967</v>
      </c>
      <c r="E15" s="12" t="n">
        <f aca="false">AVERAGE(E7:E14)</f>
        <v>36.75</v>
      </c>
      <c r="F15" s="12" t="n">
        <f aca="false">AVERAGE(F7:F14)</f>
        <v>4.75</v>
      </c>
      <c r="G15" s="12" t="n">
        <f aca="false">AVERAGE(G7:G14)</f>
        <v>45.625</v>
      </c>
      <c r="H15" s="12" t="n">
        <f aca="false">AVERAGE(H7:H14)</f>
        <v>7.125</v>
      </c>
    </row>
    <row r="18" customFormat="false" ht="15" hidden="false" customHeight="false" outlineLevel="0" collapsed="false">
      <c r="A18" s="13" t="s">
        <v>21</v>
      </c>
      <c r="D18" s="13" t="s">
        <v>22</v>
      </c>
    </row>
    <row r="19" customFormat="false" ht="15" hidden="false" customHeight="false" outlineLevel="0" collapsed="false">
      <c r="A19" s="0" t="s">
        <v>23</v>
      </c>
      <c r="B19" s="14" t="n">
        <f aca="false">COUNTIF(I7:I14,"Excellent")</f>
        <v>2</v>
      </c>
      <c r="D19" s="0" t="s">
        <v>24</v>
      </c>
      <c r="E19" s="15" t="n">
        <f aca="false">B18</f>
        <v>0</v>
      </c>
    </row>
    <row r="20" customFormat="false" ht="15" hidden="false" customHeight="false" outlineLevel="0" collapsed="false">
      <c r="A20" s="0" t="s">
        <v>25</v>
      </c>
      <c r="B20" s="16" t="n">
        <f aca="false">COUNTIF(I7:I14,"Good")</f>
        <v>4</v>
      </c>
      <c r="D20" s="0" t="s">
        <v>26</v>
      </c>
      <c r="E20" s="15" t="n">
        <f aca="false">B20</f>
        <v>4</v>
      </c>
    </row>
    <row r="21" customFormat="false" ht="15" hidden="false" customHeight="false" outlineLevel="0" collapsed="false">
      <c r="A21" s="0" t="s">
        <v>27</v>
      </c>
      <c r="B21" s="17" t="n">
        <f aca="false">COUNTIF(I7:I14,"Needs Improvement")</f>
        <v>0</v>
      </c>
      <c r="D21" s="0" t="s">
        <v>28</v>
      </c>
      <c r="E21" s="18" t="n">
        <f aca="false">B15</f>
        <v>1382382</v>
      </c>
    </row>
    <row r="24" customFormat="false" ht="15" hidden="false" customHeight="false" outlineLevel="0" collapsed="false">
      <c r="A24" s="19" t="s">
        <v>29</v>
      </c>
    </row>
    <row r="25" customFormat="false" ht="15" hidden="false" customHeight="false" outlineLevel="0" collapsed="false">
      <c r="A25" s="0" t="s">
        <v>30</v>
      </c>
    </row>
    <row r="26" customFormat="false" ht="15" hidden="false" customHeight="false" outlineLevel="0" collapsed="false">
      <c r="A26" s="0" t="s">
        <v>31</v>
      </c>
    </row>
    <row r="27" customFormat="false" ht="15" hidden="false" customHeight="false" outlineLevel="0" collapsed="false">
      <c r="A27" s="0" t="s">
        <v>32</v>
      </c>
    </row>
    <row r="28" customFormat="false" ht="15" hidden="false" customHeight="false" outlineLevel="0" collapsed="false">
      <c r="A28" s="0" t="s">
        <v>33</v>
      </c>
    </row>
    <row r="30" customFormat="false" ht="15" hidden="false" customHeight="false" outlineLevel="0" collapsed="false">
      <c r="A30" s="20" t="s">
        <v>34</v>
      </c>
    </row>
    <row r="31" customFormat="false" ht="15" hidden="false" customHeight="false" outlineLevel="0" collapsed="false">
      <c r="A31" s="2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35" hidden="false" customHeight="false" outlineLevel="0" collapsed="false">
      <c r="A1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2026-02-16T21:32:40Z</dcterms:created>
  <dc:creator>openpyxl</dc:creator>
  <dc:description/>
  <dc:language>en-US</dc:language>
  <cp:lastModifiedBy/>
  <dcterms:modified xsi:type="dcterms:W3CDTF">2026-02-16T21:32:44Z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